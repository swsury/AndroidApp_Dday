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. Git\AndroidApp_Dday\"/>
    </mc:Choice>
  </mc:AlternateContent>
  <xr:revisionPtr revIDLastSave="0" documentId="13_ncr:1_{E09B4870-26E1-4312-B2FA-C9EAC4ADAF6B}" xr6:coauthVersionLast="47" xr6:coauthVersionMax="47" xr10:uidLastSave="{00000000-0000-0000-0000-000000000000}"/>
  <bookViews>
    <workbookView xWindow="3045" yWindow="1785" windowWidth="15720" windowHeight="11970" activeTab="1" xr2:uid="{8CA68E9B-9CD2-4861-B188-157A23DF58F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/>
  <c r="I2" i="1"/>
  <c r="F2" i="1"/>
  <c r="E2" i="1"/>
  <c r="E7" i="2"/>
  <c r="E10" i="2"/>
  <c r="E12" i="2"/>
  <c r="E11" i="2"/>
  <c r="E9" i="2"/>
  <c r="B12" i="2"/>
  <c r="B11" i="2"/>
  <c r="B10" i="2"/>
  <c r="B9" i="2"/>
  <c r="E4" i="2"/>
  <c r="B4" i="2"/>
  <c r="B5" i="2"/>
  <c r="B6" i="2"/>
  <c r="B7" i="2"/>
  <c r="E46" i="1"/>
  <c r="E47" i="1"/>
  <c r="E48" i="1"/>
  <c r="F56" i="1"/>
  <c r="F55" i="1" s="1"/>
  <c r="F54" i="1" s="1"/>
  <c r="F53" i="1" s="1"/>
  <c r="F52" i="1" s="1"/>
  <c r="F51" i="1" s="1"/>
  <c r="F50" i="1" s="1"/>
  <c r="F49" i="1" s="1"/>
  <c r="F48" i="1" s="1"/>
  <c r="F47" i="1" s="1"/>
  <c r="F46" i="1" s="1"/>
  <c r="F45" i="1" s="1"/>
  <c r="F44" i="1" s="1"/>
  <c r="F43" i="1" s="1"/>
  <c r="F42" i="1" s="1"/>
  <c r="F41" i="1" s="1"/>
  <c r="F40" i="1" s="1"/>
  <c r="F39" i="1" s="1"/>
  <c r="F38" i="1" s="1"/>
  <c r="F37" i="1" s="1"/>
  <c r="F36" i="1" s="1"/>
  <c r="F35" i="1" s="1"/>
  <c r="F34" i="1" s="1"/>
  <c r="F33" i="1" s="1"/>
  <c r="F32" i="1" s="1"/>
  <c r="F31" i="1" s="1"/>
  <c r="F30" i="1" s="1"/>
  <c r="F29" i="1" s="1"/>
  <c r="F28" i="1" s="1"/>
  <c r="F27" i="1" s="1"/>
  <c r="F26" i="1" s="1"/>
  <c r="F25" i="1" s="1"/>
  <c r="F24" i="1" s="1"/>
  <c r="F23" i="1" s="1"/>
  <c r="F22" i="1" s="1"/>
  <c r="F21" i="1" s="1"/>
  <c r="F20" i="1" s="1"/>
  <c r="F19" i="1" s="1"/>
  <c r="F18" i="1" s="1"/>
  <c r="F17" i="1" s="1"/>
  <c r="F16" i="1" s="1"/>
  <c r="F15" i="1" s="1"/>
  <c r="F14" i="1" s="1"/>
  <c r="F13" i="1" s="1"/>
  <c r="F12" i="1" s="1"/>
  <c r="F11" i="1" s="1"/>
  <c r="F10" i="1" s="1"/>
  <c r="F9" i="1" s="1"/>
  <c r="F8" i="1" s="1"/>
  <c r="F7" i="1" s="1"/>
  <c r="F6" i="1" s="1"/>
  <c r="F5" i="1" s="1"/>
  <c r="F4" i="1" s="1"/>
  <c r="F3" i="1" s="1"/>
  <c r="E5" i="2"/>
  <c r="E6" i="2"/>
  <c r="B3" i="1"/>
  <c r="B5" i="1" s="1"/>
  <c r="B7" i="1" s="1"/>
  <c r="B9" i="1" s="1"/>
  <c r="B11" i="1" s="1"/>
  <c r="B13" i="1" s="1"/>
  <c r="B15" i="1" s="1"/>
  <c r="B4" i="1"/>
  <c r="B6" i="1" s="1"/>
  <c r="B8" i="1" s="1"/>
  <c r="B10" i="1" s="1"/>
  <c r="B12" i="1" s="1"/>
  <c r="B14" i="1" s="1"/>
  <c r="B16" i="1" s="1"/>
  <c r="E3" i="1" l="1"/>
  <c r="E57" i="1"/>
  <c r="E50" i="1"/>
  <c r="E45" i="1"/>
  <c r="E30" i="1"/>
  <c r="E29" i="1"/>
  <c r="E28" i="1"/>
  <c r="E18" i="1"/>
  <c r="E17" i="1"/>
  <c r="E49" i="1"/>
  <c r="E27" i="1"/>
  <c r="E26" i="1"/>
  <c r="E25" i="1"/>
  <c r="E44" i="1"/>
  <c r="E16" i="1"/>
  <c r="E43" i="1"/>
  <c r="E15" i="1"/>
  <c r="E14" i="1"/>
  <c r="E41" i="1"/>
  <c r="E13" i="1"/>
  <c r="E34" i="1"/>
  <c r="E12" i="1"/>
  <c r="E33" i="1"/>
  <c r="E11" i="1"/>
  <c r="E32" i="1"/>
  <c r="E10" i="1"/>
  <c r="E42" i="1"/>
  <c r="E31" i="1"/>
  <c r="E9" i="1"/>
  <c r="E40" i="1"/>
  <c r="E24" i="1"/>
  <c r="E8" i="1"/>
  <c r="E55" i="1"/>
  <c r="E39" i="1"/>
  <c r="E23" i="1"/>
  <c r="E7" i="1"/>
  <c r="E22" i="1"/>
  <c r="E6" i="1"/>
  <c r="E53" i="1"/>
  <c r="E21" i="1"/>
  <c r="E5" i="1"/>
  <c r="E38" i="1"/>
  <c r="E52" i="1"/>
  <c r="E36" i="1"/>
  <c r="E20" i="1"/>
  <c r="E4" i="1"/>
  <c r="E56" i="1"/>
  <c r="E54" i="1"/>
  <c r="E37" i="1"/>
  <c r="E51" i="1"/>
  <c r="E35" i="1"/>
  <c r="E19" i="1"/>
  <c r="G56" i="1" l="1"/>
  <c r="G55" i="1" s="1"/>
  <c r="G54" i="1" s="1"/>
  <c r="G53" i="1" s="1"/>
  <c r="G52" i="1" s="1"/>
  <c r="G51" i="1" s="1"/>
  <c r="G50" i="1" s="1"/>
  <c r="G49" i="1" s="1"/>
  <c r="G48" i="1" s="1"/>
  <c r="G47" i="1" s="1"/>
  <c r="G46" i="1" s="1"/>
  <c r="G45" i="1" s="1"/>
  <c r="G44" i="1" s="1"/>
  <c r="G43" i="1" s="1"/>
  <c r="G42" i="1" s="1"/>
  <c r="G41" i="1" s="1"/>
  <c r="G40" i="1" s="1"/>
  <c r="G39" i="1" s="1"/>
  <c r="G38" i="1" s="1"/>
  <c r="G37" i="1" s="1"/>
  <c r="G36" i="1" s="1"/>
  <c r="G35" i="1" s="1"/>
  <c r="G34" i="1" s="1"/>
  <c r="G33" i="1" s="1"/>
  <c r="G32" i="1" s="1"/>
  <c r="G31" i="1" s="1"/>
  <c r="G30" i="1" s="1"/>
  <c r="G29" i="1" s="1"/>
  <c r="G28" i="1" s="1"/>
  <c r="G27" i="1" s="1"/>
  <c r="G26" i="1" s="1"/>
  <c r="G25" i="1" s="1"/>
  <c r="G24" i="1" s="1"/>
  <c r="G23" i="1" s="1"/>
  <c r="G22" i="1" s="1"/>
  <c r="G21" i="1" s="1"/>
  <c r="G20" i="1" s="1"/>
  <c r="G19" i="1" s="1"/>
  <c r="G18" i="1" s="1"/>
  <c r="G17" i="1" s="1"/>
  <c r="G16" i="1" s="1"/>
  <c r="G15" i="1" s="1"/>
  <c r="G14" i="1" s="1"/>
  <c r="G13" i="1" s="1"/>
  <c r="G12" i="1" s="1"/>
  <c r="G11" i="1" s="1"/>
  <c r="G10" i="1" s="1"/>
  <c r="G9" i="1" s="1"/>
  <c r="G8" i="1" s="1"/>
  <c r="G7" i="1" s="1"/>
  <c r="G6" i="1" s="1"/>
  <c r="G5" i="1" s="1"/>
  <c r="G4" i="1" s="1"/>
  <c r="G3" i="1" s="1"/>
  <c r="H56" i="1"/>
  <c r="H55" i="1" s="1"/>
  <c r="H54" i="1" s="1"/>
  <c r="H53" i="1" s="1"/>
  <c r="H52" i="1" s="1"/>
  <c r="H51" i="1" s="1"/>
  <c r="H50" i="1" s="1"/>
  <c r="H49" i="1" s="1"/>
  <c r="H48" i="1" s="1"/>
  <c r="H47" i="1" s="1"/>
  <c r="H46" i="1" s="1"/>
  <c r="H45" i="1" s="1"/>
  <c r="H44" i="1" s="1"/>
  <c r="H43" i="1" s="1"/>
  <c r="H42" i="1" s="1"/>
  <c r="H41" i="1" s="1"/>
  <c r="H40" i="1" s="1"/>
  <c r="H39" i="1" s="1"/>
  <c r="H38" i="1" s="1"/>
  <c r="H37" i="1" s="1"/>
  <c r="H36" i="1" s="1"/>
  <c r="H35" i="1" s="1"/>
  <c r="H34" i="1" s="1"/>
  <c r="H33" i="1" s="1"/>
  <c r="H32" i="1" s="1"/>
  <c r="H31" i="1" s="1"/>
  <c r="H30" i="1" s="1"/>
  <c r="H29" i="1" s="1"/>
  <c r="H28" i="1" s="1"/>
  <c r="H27" i="1" s="1"/>
  <c r="H26" i="1" s="1"/>
  <c r="H25" i="1" s="1"/>
  <c r="H24" i="1" s="1"/>
  <c r="H23" i="1" s="1"/>
  <c r="H22" i="1" s="1"/>
  <c r="H21" i="1" s="1"/>
  <c r="H20" i="1" s="1"/>
  <c r="H19" i="1" s="1"/>
  <c r="H18" i="1" s="1"/>
  <c r="H17" i="1" s="1"/>
  <c r="H16" i="1" s="1"/>
  <c r="H15" i="1" s="1"/>
  <c r="H14" i="1" s="1"/>
  <c r="H13" i="1" s="1"/>
  <c r="H12" i="1" s="1"/>
  <c r="H11" i="1" s="1"/>
  <c r="H10" i="1" s="1"/>
  <c r="H9" i="1" s="1"/>
  <c r="H8" i="1" s="1"/>
  <c r="H7" i="1" s="1"/>
  <c r="H6" i="1" s="1"/>
  <c r="H5" i="1" s="1"/>
  <c r="H4" i="1" s="1"/>
  <c r="H3" i="1" s="1"/>
  <c r="I56" i="1"/>
  <c r="I55" i="1" s="1"/>
  <c r="I54" i="1" s="1"/>
  <c r="I53" i="1" s="1"/>
  <c r="I52" i="1" s="1"/>
  <c r="I51" i="1" s="1"/>
  <c r="I50" i="1" s="1"/>
  <c r="I49" i="1" s="1"/>
  <c r="I48" i="1" s="1"/>
  <c r="I47" i="1" s="1"/>
  <c r="I46" i="1" s="1"/>
  <c r="I45" i="1" s="1"/>
  <c r="I44" i="1" s="1"/>
  <c r="I43" i="1" s="1"/>
  <c r="I42" i="1" s="1"/>
  <c r="I41" i="1" s="1"/>
  <c r="I40" i="1" s="1"/>
  <c r="I39" i="1" s="1"/>
  <c r="I38" i="1" s="1"/>
  <c r="I37" i="1" s="1"/>
  <c r="I36" i="1" s="1"/>
  <c r="I35" i="1" s="1"/>
  <c r="I34" i="1" s="1"/>
  <c r="I33" i="1" s="1"/>
  <c r="I32" i="1" s="1"/>
  <c r="I31" i="1" s="1"/>
  <c r="I30" i="1" s="1"/>
  <c r="I29" i="1" s="1"/>
  <c r="I28" i="1" s="1"/>
  <c r="I27" i="1" s="1"/>
  <c r="I26" i="1" s="1"/>
  <c r="I25" i="1" s="1"/>
  <c r="I24" i="1" s="1"/>
  <c r="I23" i="1" s="1"/>
  <c r="I22" i="1" s="1"/>
  <c r="I21" i="1" s="1"/>
  <c r="I20" i="1" s="1"/>
  <c r="I19" i="1" s="1"/>
  <c r="I18" i="1" s="1"/>
  <c r="I17" i="1" s="1"/>
  <c r="I16" i="1" s="1"/>
  <c r="I15" i="1" s="1"/>
  <c r="I14" i="1" s="1"/>
  <c r="I13" i="1" s="1"/>
  <c r="I12" i="1" s="1"/>
  <c r="I11" i="1" s="1"/>
  <c r="I10" i="1" s="1"/>
  <c r="I9" i="1" s="1"/>
  <c r="I8" i="1" s="1"/>
  <c r="I7" i="1" s="1"/>
  <c r="I6" i="1" s="1"/>
  <c r="I5" i="1" s="1"/>
  <c r="I4" i="1" s="1"/>
  <c r="I3" i="1" s="1"/>
</calcChain>
</file>

<file path=xl/sharedStrings.xml><?xml version="1.0" encoding="utf-8"?>
<sst xmlns="http://schemas.openxmlformats.org/spreadsheetml/2006/main" count="30" uniqueCount="14">
  <si>
    <t>종료일</t>
    <phoneticPr fontId="1" type="noConversion"/>
  </si>
  <si>
    <t>주말 포함, 공휴일 제외</t>
    <phoneticPr fontId="1" type="noConversion"/>
  </si>
  <si>
    <t>주말 제외, 공휴일 포함</t>
    <phoneticPr fontId="1" type="noConversion"/>
  </si>
  <si>
    <t>주말 제외, 공휴일 제외</t>
    <phoneticPr fontId="1" type="noConversion"/>
  </si>
  <si>
    <t>테스트 날짜</t>
    <phoneticPr fontId="1" type="noConversion"/>
  </si>
  <si>
    <t>당일 날짜 포함 총일수</t>
    <phoneticPr fontId="1" type="noConversion"/>
  </si>
  <si>
    <t>당일날짜 미포함 총일수</t>
    <phoneticPr fontId="1" type="noConversion"/>
  </si>
  <si>
    <t>일 특징 표시</t>
    <phoneticPr fontId="1" type="noConversion"/>
  </si>
  <si>
    <t>날짜</t>
    <phoneticPr fontId="1" type="noConversion"/>
  </si>
  <si>
    <t>전체 디데이</t>
  </si>
  <si>
    <t>전체 디데이</t>
    <phoneticPr fontId="1" type="noConversion"/>
  </si>
  <si>
    <t>주말 제외, 공휴일 제외</t>
  </si>
  <si>
    <t>주말 포함, 공휴일 제외</t>
  </si>
  <si>
    <t>주말 제외, 공휴일 포함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</si>
</sst>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91344-3E73-4DAE-AF73-D2F33729720D}">
  <dimension ref="A1:I57"/>
  <sheetViews>
    <sheetView workbookViewId="0">
      <selection activeCell="H2" sqref="H2"/>
    </sheetView>
  </sheetViews>
  <sheetFormatPr defaultRowHeight="16.5" x14ac:dyDescent="0.3"/>
  <cols>
    <col min="1" max="1" width="15.625" customWidth="1"/>
    <col min="2" max="2" width="17.5" customWidth="1"/>
    <col min="4" max="4" width="11.125" bestFit="1" customWidth="1"/>
    <col min="6" max="7" width="10.625" customWidth="1"/>
  </cols>
  <sheetData>
    <row r="1" spans="1:9" x14ac:dyDescent="0.3">
      <c r="A1" s="1">
        <v>46070</v>
      </c>
      <c r="B1" s="1">
        <v>46026</v>
      </c>
      <c r="D1" t="s">
        <v>8</v>
      </c>
      <c r="E1" t="s">
        <v>7</v>
      </c>
      <c r="F1" t="s">
        <v>10</v>
      </c>
      <c r="G1" t="s">
        <v>3</v>
      </c>
      <c r="H1" t="s">
        <v>1</v>
      </c>
      <c r="I1" t="s">
        <v>2</v>
      </c>
    </row>
    <row r="2" spans="1:9" x14ac:dyDescent="0.3">
      <c r="A2" s="1">
        <v>46071</v>
      </c>
      <c r="B2" s="1">
        <v>46032</v>
      </c>
      <c r="D2" s="1">
        <v>46026</v>
      </c>
      <c r="E2" t="str">
        <f>IF(COUNTIF(A:A, D2)&gt;0, "공휴일", IF(COUNTIF(B:B, D2)&gt;0, "주말", "평일"))</f>
        <v>주말</v>
      </c>
      <c r="F2">
        <f>F3+1</f>
        <v>55</v>
      </c>
      <c r="G2">
        <f>IF(E2="주말",G3+0,IF(E2="공휴일",G3+0,G3+1))</f>
        <v>37</v>
      </c>
      <c r="H2">
        <f>IF(E2="주말",H3+1,IF(E2="공휴일",H3+0, H3+1))</f>
        <v>52</v>
      </c>
      <c r="I2">
        <f>IF(E2="주말",I3+0,IF(E2="공휴일",I3+1, I3+1))</f>
        <v>40</v>
      </c>
    </row>
    <row r="3" spans="1:9" x14ac:dyDescent="0.3">
      <c r="A3" s="1">
        <v>46072</v>
      </c>
      <c r="B3" s="1">
        <f t="shared" ref="B3:B16" si="0">B1+7</f>
        <v>46033</v>
      </c>
      <c r="D3" s="1">
        <v>46027</v>
      </c>
      <c r="E3" t="str">
        <f>IF(COUNTIF(A:A, D3)&gt;0, "공휴일", IF(COUNTIF(B:B, D3)&gt;0, "주말", "평일"))</f>
        <v>평일</v>
      </c>
      <c r="F3">
        <f>F4+1</f>
        <v>54</v>
      </c>
      <c r="G3">
        <f>IF(E3="주말",G4+0,IF(E3="공휴일",G4+0, G4+1))</f>
        <v>37</v>
      </c>
      <c r="H3">
        <f>IF(E3="주말",H4+1,IF(E3="공휴일",H4+0, H4+1))</f>
        <v>51</v>
      </c>
      <c r="I3">
        <f>IF(E3="주말",I4+0,IF(E3="공휴일",I4+1, I4+1))</f>
        <v>40</v>
      </c>
    </row>
    <row r="4" spans="1:9" x14ac:dyDescent="0.3">
      <c r="A4" s="1"/>
      <c r="B4" s="1">
        <f t="shared" si="0"/>
        <v>46039</v>
      </c>
      <c r="D4" s="1">
        <v>46028</v>
      </c>
      <c r="E4" t="str">
        <f>IF(COUNTIF(A:A, D4)&gt;0, "공휴일", IF(COUNTIF(B:B, D4)&gt;0, "주말", "평일"))</f>
        <v>평일</v>
      </c>
      <c r="F4">
        <f>F5+1</f>
        <v>53</v>
      </c>
      <c r="G4">
        <f t="shared" ref="G4:G56" si="1">IF(E4="주말",G5+0,IF(E4="공휴일",G5+0, G5+1))</f>
        <v>36</v>
      </c>
      <c r="H4">
        <f t="shared" ref="H4:H56" si="2">IF(E4="주말",H5+1,IF(E4="공휴일",H5+0, H5+1))</f>
        <v>50</v>
      </c>
      <c r="I4">
        <f t="shared" ref="I4:I56" si="3">IF(E4="주말",I5+0,IF(E4="공휴일",I5+1, I5+1))</f>
        <v>39</v>
      </c>
    </row>
    <row r="5" spans="1:9" x14ac:dyDescent="0.3">
      <c r="B5" s="1">
        <f t="shared" si="0"/>
        <v>46040</v>
      </c>
      <c r="D5" s="1">
        <v>46029</v>
      </c>
      <c r="E5" t="str">
        <f>IF(COUNTIF(A:A, D5)&gt;0, "공휴일", IF(COUNTIF(B:B, D5)&gt;0, "주말", "평일"))</f>
        <v>평일</v>
      </c>
      <c r="F5">
        <f>F6+1</f>
        <v>52</v>
      </c>
      <c r="G5">
        <f t="shared" si="1"/>
        <v>35</v>
      </c>
      <c r="H5">
        <f t="shared" si="2"/>
        <v>49</v>
      </c>
      <c r="I5">
        <f t="shared" si="3"/>
        <v>38</v>
      </c>
    </row>
    <row r="6" spans="1:9" x14ac:dyDescent="0.3">
      <c r="B6" s="1">
        <f t="shared" si="0"/>
        <v>46046</v>
      </c>
      <c r="D6" s="1">
        <v>46030</v>
      </c>
      <c r="E6" t="str">
        <f>IF(COUNTIF(A:A, D6)&gt;0, "공휴일", IF(COUNTIF(B:B, D6)&gt;0, "주말", "평일"))</f>
        <v>평일</v>
      </c>
      <c r="F6">
        <f>F7+1</f>
        <v>51</v>
      </c>
      <c r="G6">
        <f t="shared" si="1"/>
        <v>34</v>
      </c>
      <c r="H6">
        <f t="shared" si="2"/>
        <v>48</v>
      </c>
      <c r="I6">
        <f t="shared" si="3"/>
        <v>37</v>
      </c>
    </row>
    <row r="7" spans="1:9" x14ac:dyDescent="0.3">
      <c r="B7" s="1">
        <f t="shared" si="0"/>
        <v>46047</v>
      </c>
      <c r="D7" s="1">
        <v>46031</v>
      </c>
      <c r="E7" t="str">
        <f>IF(COUNTIF(A:A, D7)&gt;0, "공휴일", IF(COUNTIF(B:B, D7)&gt;0, "주말", "평일"))</f>
        <v>평일</v>
      </c>
      <c r="F7">
        <f>F8+1</f>
        <v>50</v>
      </c>
      <c r="G7">
        <f t="shared" si="1"/>
        <v>33</v>
      </c>
      <c r="H7">
        <f t="shared" si="2"/>
        <v>47</v>
      </c>
      <c r="I7">
        <f t="shared" si="3"/>
        <v>36</v>
      </c>
    </row>
    <row r="8" spans="1:9" x14ac:dyDescent="0.3">
      <c r="B8" s="1">
        <f t="shared" si="0"/>
        <v>46053</v>
      </c>
      <c r="D8" s="1">
        <v>46032</v>
      </c>
      <c r="E8" t="str">
        <f>IF(COUNTIF(A:A, D8)&gt;0, "공휴일", IF(COUNTIF(B:B, D8)&gt;0, "주말", "평일"))</f>
        <v>주말</v>
      </c>
      <c r="F8">
        <f>F9+1</f>
        <v>49</v>
      </c>
      <c r="G8">
        <f t="shared" si="1"/>
        <v>32</v>
      </c>
      <c r="H8">
        <f t="shared" si="2"/>
        <v>46</v>
      </c>
      <c r="I8">
        <f t="shared" si="3"/>
        <v>35</v>
      </c>
    </row>
    <row r="9" spans="1:9" x14ac:dyDescent="0.3">
      <c r="B9" s="1">
        <f t="shared" si="0"/>
        <v>46054</v>
      </c>
      <c r="D9" s="1">
        <v>46033</v>
      </c>
      <c r="E9" t="str">
        <f>IF(COUNTIF(A:A, D9)&gt;0, "공휴일", IF(COUNTIF(B:B, D9)&gt;0, "주말", "평일"))</f>
        <v>주말</v>
      </c>
      <c r="F9">
        <f>F10+1</f>
        <v>48</v>
      </c>
      <c r="G9">
        <f t="shared" si="1"/>
        <v>32</v>
      </c>
      <c r="H9">
        <f t="shared" si="2"/>
        <v>45</v>
      </c>
      <c r="I9">
        <f t="shared" si="3"/>
        <v>35</v>
      </c>
    </row>
    <row r="10" spans="1:9" x14ac:dyDescent="0.3">
      <c r="B10" s="1">
        <f t="shared" si="0"/>
        <v>46060</v>
      </c>
      <c r="D10" s="1">
        <v>46034</v>
      </c>
      <c r="E10" t="str">
        <f>IF(COUNTIF(A:A, D10)&gt;0, "공휴일", IF(COUNTIF(B:B, D10)&gt;0, "주말", "평일"))</f>
        <v>평일</v>
      </c>
      <c r="F10">
        <f>F11+1</f>
        <v>47</v>
      </c>
      <c r="G10">
        <f t="shared" si="1"/>
        <v>32</v>
      </c>
      <c r="H10">
        <f t="shared" si="2"/>
        <v>44</v>
      </c>
      <c r="I10">
        <f t="shared" si="3"/>
        <v>35</v>
      </c>
    </row>
    <row r="11" spans="1:9" x14ac:dyDescent="0.3">
      <c r="B11" s="1">
        <f t="shared" si="0"/>
        <v>46061</v>
      </c>
      <c r="D11" s="1">
        <v>46035</v>
      </c>
      <c r="E11" t="str">
        <f>IF(COUNTIF(A:A, D11)&gt;0, "공휴일", IF(COUNTIF(B:B, D11)&gt;0, "주말", "평일"))</f>
        <v>평일</v>
      </c>
      <c r="F11">
        <f>F12+1</f>
        <v>46</v>
      </c>
      <c r="G11">
        <f t="shared" si="1"/>
        <v>31</v>
      </c>
      <c r="H11">
        <f t="shared" si="2"/>
        <v>43</v>
      </c>
      <c r="I11">
        <f t="shared" si="3"/>
        <v>34</v>
      </c>
    </row>
    <row r="12" spans="1:9" x14ac:dyDescent="0.3">
      <c r="B12" s="1">
        <f t="shared" si="0"/>
        <v>46067</v>
      </c>
      <c r="D12" s="1">
        <v>46036</v>
      </c>
      <c r="E12" t="str">
        <f>IF(COUNTIF(A:A, D12)&gt;0, "공휴일", IF(COUNTIF(B:B, D12)&gt;0, "주말", "평일"))</f>
        <v>평일</v>
      </c>
      <c r="F12">
        <f>F13+1</f>
        <v>45</v>
      </c>
      <c r="G12">
        <f t="shared" si="1"/>
        <v>30</v>
      </c>
      <c r="H12">
        <f t="shared" si="2"/>
        <v>42</v>
      </c>
      <c r="I12">
        <f t="shared" si="3"/>
        <v>33</v>
      </c>
    </row>
    <row r="13" spans="1:9" x14ac:dyDescent="0.3">
      <c r="B13" s="1">
        <f t="shared" si="0"/>
        <v>46068</v>
      </c>
      <c r="D13" s="1">
        <v>46037</v>
      </c>
      <c r="E13" t="str">
        <f>IF(COUNTIF(A:A, D13)&gt;0, "공휴일", IF(COUNTIF(B:B, D13)&gt;0, "주말", "평일"))</f>
        <v>평일</v>
      </c>
      <c r="F13">
        <f>F14+1</f>
        <v>44</v>
      </c>
      <c r="G13">
        <f t="shared" si="1"/>
        <v>29</v>
      </c>
      <c r="H13">
        <f t="shared" si="2"/>
        <v>41</v>
      </c>
      <c r="I13">
        <f t="shared" si="3"/>
        <v>32</v>
      </c>
    </row>
    <row r="14" spans="1:9" x14ac:dyDescent="0.3">
      <c r="B14" s="1">
        <f t="shared" si="0"/>
        <v>46074</v>
      </c>
      <c r="D14" s="1">
        <v>46038</v>
      </c>
      <c r="E14" t="str">
        <f>IF(COUNTIF(A:A, D14)&gt;0, "공휴일", IF(COUNTIF(B:B, D14)&gt;0, "주말", "평일"))</f>
        <v>평일</v>
      </c>
      <c r="F14">
        <f>F15+1</f>
        <v>43</v>
      </c>
      <c r="G14">
        <f t="shared" si="1"/>
        <v>28</v>
      </c>
      <c r="H14">
        <f t="shared" si="2"/>
        <v>40</v>
      </c>
      <c r="I14">
        <f t="shared" si="3"/>
        <v>31</v>
      </c>
    </row>
    <row r="15" spans="1:9" x14ac:dyDescent="0.3">
      <c r="B15" s="1">
        <f t="shared" si="0"/>
        <v>46075</v>
      </c>
      <c r="D15" s="1">
        <v>46039</v>
      </c>
      <c r="E15" t="str">
        <f>IF(COUNTIF(A:A, D15)&gt;0, "공휴일", IF(COUNTIF(B:B, D15)&gt;0, "주말", "평일"))</f>
        <v>주말</v>
      </c>
      <c r="F15">
        <f>F16+1</f>
        <v>42</v>
      </c>
      <c r="G15">
        <f t="shared" si="1"/>
        <v>27</v>
      </c>
      <c r="H15">
        <f t="shared" si="2"/>
        <v>39</v>
      </c>
      <c r="I15">
        <f t="shared" si="3"/>
        <v>30</v>
      </c>
    </row>
    <row r="16" spans="1:9" x14ac:dyDescent="0.3">
      <c r="B16" s="1">
        <f t="shared" si="0"/>
        <v>46081</v>
      </c>
      <c r="D16" s="1">
        <v>46040</v>
      </c>
      <c r="E16" t="str">
        <f>IF(COUNTIF(A:A, D16)&gt;0, "공휴일", IF(COUNTIF(B:B, D16)&gt;0, "주말", "평일"))</f>
        <v>주말</v>
      </c>
      <c r="F16">
        <f>F17+1</f>
        <v>41</v>
      </c>
      <c r="G16">
        <f t="shared" si="1"/>
        <v>27</v>
      </c>
      <c r="H16">
        <f t="shared" si="2"/>
        <v>38</v>
      </c>
      <c r="I16">
        <f t="shared" si="3"/>
        <v>30</v>
      </c>
    </row>
    <row r="17" spans="4:9" x14ac:dyDescent="0.3">
      <c r="D17" s="1">
        <v>46041</v>
      </c>
      <c r="E17" t="str">
        <f>IF(COUNTIF(A:A, D17)&gt;0, "공휴일", IF(COUNTIF(B:B, D17)&gt;0, "주말", "평일"))</f>
        <v>평일</v>
      </c>
      <c r="F17">
        <f>F18+1</f>
        <v>40</v>
      </c>
      <c r="G17">
        <f t="shared" si="1"/>
        <v>27</v>
      </c>
      <c r="H17">
        <f t="shared" si="2"/>
        <v>37</v>
      </c>
      <c r="I17">
        <f t="shared" si="3"/>
        <v>30</v>
      </c>
    </row>
    <row r="18" spans="4:9" x14ac:dyDescent="0.3">
      <c r="D18" s="1">
        <v>46042</v>
      </c>
      <c r="E18" t="str">
        <f>IF(COUNTIF(A:A, D18)&gt;0, "공휴일", IF(COUNTIF(B:B, D18)&gt;0, "주말", "평일"))</f>
        <v>평일</v>
      </c>
      <c r="F18">
        <f>F19+1</f>
        <v>39</v>
      </c>
      <c r="G18">
        <f t="shared" si="1"/>
        <v>26</v>
      </c>
      <c r="H18">
        <f t="shared" si="2"/>
        <v>36</v>
      </c>
      <c r="I18">
        <f t="shared" si="3"/>
        <v>29</v>
      </c>
    </row>
    <row r="19" spans="4:9" x14ac:dyDescent="0.3">
      <c r="D19" s="1">
        <v>46043</v>
      </c>
      <c r="E19" t="str">
        <f>IF(COUNTIF(A:A, D19)&gt;0, "공휴일", IF(COUNTIF(B:B, D19)&gt;0, "주말", "평일"))</f>
        <v>평일</v>
      </c>
      <c r="F19">
        <f>F20+1</f>
        <v>38</v>
      </c>
      <c r="G19">
        <f t="shared" si="1"/>
        <v>25</v>
      </c>
      <c r="H19">
        <f t="shared" si="2"/>
        <v>35</v>
      </c>
      <c r="I19">
        <f t="shared" si="3"/>
        <v>28</v>
      </c>
    </row>
    <row r="20" spans="4:9" x14ac:dyDescent="0.3">
      <c r="D20" s="1">
        <v>46044</v>
      </c>
      <c r="E20" t="str">
        <f>IF(COUNTIF(A:A, D20)&gt;0, "공휴일", IF(COUNTIF(B:B, D20)&gt;0, "주말", "평일"))</f>
        <v>평일</v>
      </c>
      <c r="F20">
        <f>F21+1</f>
        <v>37</v>
      </c>
      <c r="G20">
        <f t="shared" si="1"/>
        <v>24</v>
      </c>
      <c r="H20">
        <f t="shared" si="2"/>
        <v>34</v>
      </c>
      <c r="I20">
        <f t="shared" si="3"/>
        <v>27</v>
      </c>
    </row>
    <row r="21" spans="4:9" x14ac:dyDescent="0.3">
      <c r="D21" s="1">
        <v>46045</v>
      </c>
      <c r="E21" t="str">
        <f>IF(COUNTIF(A:A, D21)&gt;0, "공휴일", IF(COUNTIF(B:B, D21)&gt;0, "주말", "평일"))</f>
        <v>평일</v>
      </c>
      <c r="F21">
        <f>F22+1</f>
        <v>36</v>
      </c>
      <c r="G21">
        <f t="shared" si="1"/>
        <v>23</v>
      </c>
      <c r="H21">
        <f t="shared" si="2"/>
        <v>33</v>
      </c>
      <c r="I21">
        <f t="shared" si="3"/>
        <v>26</v>
      </c>
    </row>
    <row r="22" spans="4:9" x14ac:dyDescent="0.3">
      <c r="D22" s="1">
        <v>46046</v>
      </c>
      <c r="E22" t="str">
        <f>IF(COUNTIF(A:A, D22)&gt;0, "공휴일", IF(COUNTIF(B:B, D22)&gt;0, "주말", "평일"))</f>
        <v>주말</v>
      </c>
      <c r="F22">
        <f>F23+1</f>
        <v>35</v>
      </c>
      <c r="G22">
        <f t="shared" si="1"/>
        <v>22</v>
      </c>
      <c r="H22">
        <f t="shared" si="2"/>
        <v>32</v>
      </c>
      <c r="I22">
        <f t="shared" si="3"/>
        <v>25</v>
      </c>
    </row>
    <row r="23" spans="4:9" x14ac:dyDescent="0.3">
      <c r="D23" s="1">
        <v>46047</v>
      </c>
      <c r="E23" t="str">
        <f>IF(COUNTIF(A:A, D23)&gt;0, "공휴일", IF(COUNTIF(B:B, D23)&gt;0, "주말", "평일"))</f>
        <v>주말</v>
      </c>
      <c r="F23">
        <f>F24+1</f>
        <v>34</v>
      </c>
      <c r="G23">
        <f t="shared" si="1"/>
        <v>22</v>
      </c>
      <c r="H23">
        <f t="shared" si="2"/>
        <v>31</v>
      </c>
      <c r="I23">
        <f t="shared" si="3"/>
        <v>25</v>
      </c>
    </row>
    <row r="24" spans="4:9" x14ac:dyDescent="0.3">
      <c r="D24" s="1">
        <v>46048</v>
      </c>
      <c r="E24" t="str">
        <f>IF(COUNTIF(A:A, D24)&gt;0, "공휴일", IF(COUNTIF(B:B, D24)&gt;0, "주말", "평일"))</f>
        <v>평일</v>
      </c>
      <c r="F24">
        <f>F25+1</f>
        <v>33</v>
      </c>
      <c r="G24">
        <f t="shared" si="1"/>
        <v>22</v>
      </c>
      <c r="H24">
        <f t="shared" si="2"/>
        <v>30</v>
      </c>
      <c r="I24">
        <f t="shared" si="3"/>
        <v>25</v>
      </c>
    </row>
    <row r="25" spans="4:9" x14ac:dyDescent="0.3">
      <c r="D25" s="1">
        <v>46049</v>
      </c>
      <c r="E25" t="str">
        <f>IF(COUNTIF(A:A, D25)&gt;0, "공휴일", IF(COUNTIF(B:B, D25)&gt;0, "주말", "평일"))</f>
        <v>평일</v>
      </c>
      <c r="F25">
        <f>F26+1</f>
        <v>32</v>
      </c>
      <c r="G25">
        <f t="shared" si="1"/>
        <v>21</v>
      </c>
      <c r="H25">
        <f t="shared" si="2"/>
        <v>29</v>
      </c>
      <c r="I25">
        <f t="shared" si="3"/>
        <v>24</v>
      </c>
    </row>
    <row r="26" spans="4:9" x14ac:dyDescent="0.3">
      <c r="D26" s="1">
        <v>46050</v>
      </c>
      <c r="E26" t="str">
        <f>IF(COUNTIF(A:A, D26)&gt;0, "공휴일", IF(COUNTIF(B:B, D26)&gt;0, "주말", "평일"))</f>
        <v>평일</v>
      </c>
      <c r="F26">
        <f>F27+1</f>
        <v>31</v>
      </c>
      <c r="G26">
        <f t="shared" si="1"/>
        <v>20</v>
      </c>
      <c r="H26">
        <f t="shared" si="2"/>
        <v>28</v>
      </c>
      <c r="I26">
        <f t="shared" si="3"/>
        <v>23</v>
      </c>
    </row>
    <row r="27" spans="4:9" x14ac:dyDescent="0.3">
      <c r="D27" s="1">
        <v>46051</v>
      </c>
      <c r="E27" t="str">
        <f>IF(COUNTIF(A:A, D27)&gt;0, "공휴일", IF(COUNTIF(B:B, D27)&gt;0, "주말", "평일"))</f>
        <v>평일</v>
      </c>
      <c r="F27">
        <f>F28+1</f>
        <v>30</v>
      </c>
      <c r="G27">
        <f t="shared" si="1"/>
        <v>19</v>
      </c>
      <c r="H27">
        <f t="shared" si="2"/>
        <v>27</v>
      </c>
      <c r="I27">
        <f t="shared" si="3"/>
        <v>22</v>
      </c>
    </row>
    <row r="28" spans="4:9" x14ac:dyDescent="0.3">
      <c r="D28" s="1">
        <v>46052</v>
      </c>
      <c r="E28" t="str">
        <f>IF(COUNTIF(A:A, D28)&gt;0, "공휴일", IF(COUNTIF(B:B, D28)&gt;0, "주말", "평일"))</f>
        <v>평일</v>
      </c>
      <c r="F28">
        <f>F29+1</f>
        <v>29</v>
      </c>
      <c r="G28">
        <f t="shared" si="1"/>
        <v>18</v>
      </c>
      <c r="H28">
        <f t="shared" si="2"/>
        <v>26</v>
      </c>
      <c r="I28">
        <f t="shared" si="3"/>
        <v>21</v>
      </c>
    </row>
    <row r="29" spans="4:9" x14ac:dyDescent="0.3">
      <c r="D29" s="1">
        <v>46053</v>
      </c>
      <c r="E29" t="str">
        <f>IF(COUNTIF(A:A, D29)&gt;0, "공휴일", IF(COUNTIF(B:B, D29)&gt;0, "주말", "평일"))</f>
        <v>주말</v>
      </c>
      <c r="F29">
        <f>F30+1</f>
        <v>28</v>
      </c>
      <c r="G29">
        <f t="shared" si="1"/>
        <v>17</v>
      </c>
      <c r="H29">
        <f t="shared" si="2"/>
        <v>25</v>
      </c>
      <c r="I29">
        <f t="shared" si="3"/>
        <v>20</v>
      </c>
    </row>
    <row r="30" spans="4:9" x14ac:dyDescent="0.3">
      <c r="D30" s="1">
        <v>46054</v>
      </c>
      <c r="E30" t="str">
        <f>IF(COUNTIF(A:A, D30)&gt;0, "공휴일", IF(COUNTIF(B:B, D30)&gt;0, "주말", "평일"))</f>
        <v>주말</v>
      </c>
      <c r="F30">
        <f>F31+1</f>
        <v>27</v>
      </c>
      <c r="G30">
        <f t="shared" si="1"/>
        <v>17</v>
      </c>
      <c r="H30">
        <f t="shared" si="2"/>
        <v>24</v>
      </c>
      <c r="I30">
        <f t="shared" si="3"/>
        <v>20</v>
      </c>
    </row>
    <row r="31" spans="4:9" x14ac:dyDescent="0.3">
      <c r="D31" s="1">
        <v>46055</v>
      </c>
      <c r="E31" t="str">
        <f>IF(COUNTIF(A:A, D31)&gt;0, "공휴일", IF(COUNTIF(B:B, D31)&gt;0, "주말", "평일"))</f>
        <v>평일</v>
      </c>
      <c r="F31">
        <f>F32+1</f>
        <v>26</v>
      </c>
      <c r="G31">
        <f t="shared" si="1"/>
        <v>17</v>
      </c>
      <c r="H31">
        <f t="shared" si="2"/>
        <v>23</v>
      </c>
      <c r="I31">
        <f t="shared" si="3"/>
        <v>20</v>
      </c>
    </row>
    <row r="32" spans="4:9" x14ac:dyDescent="0.3">
      <c r="D32" s="1">
        <v>46056</v>
      </c>
      <c r="E32" t="str">
        <f>IF(COUNTIF(A:A, D32)&gt;0, "공휴일", IF(COUNTIF(B:B, D32)&gt;0, "주말", "평일"))</f>
        <v>평일</v>
      </c>
      <c r="F32">
        <f>F33+1</f>
        <v>25</v>
      </c>
      <c r="G32">
        <f t="shared" si="1"/>
        <v>16</v>
      </c>
      <c r="H32">
        <f t="shared" si="2"/>
        <v>22</v>
      </c>
      <c r="I32">
        <f t="shared" si="3"/>
        <v>19</v>
      </c>
    </row>
    <row r="33" spans="4:9" x14ac:dyDescent="0.3">
      <c r="D33" s="1">
        <v>46057</v>
      </c>
      <c r="E33" t="str">
        <f>IF(COUNTIF(A:A, D33)&gt;0, "공휴일", IF(COUNTIF(B:B, D33)&gt;0, "주말", "평일"))</f>
        <v>평일</v>
      </c>
      <c r="F33">
        <f>F34+1</f>
        <v>24</v>
      </c>
      <c r="G33">
        <f t="shared" si="1"/>
        <v>15</v>
      </c>
      <c r="H33">
        <f t="shared" si="2"/>
        <v>21</v>
      </c>
      <c r="I33">
        <f t="shared" si="3"/>
        <v>18</v>
      </c>
    </row>
    <row r="34" spans="4:9" x14ac:dyDescent="0.3">
      <c r="D34" s="1">
        <v>46058</v>
      </c>
      <c r="E34" t="str">
        <f>IF(COUNTIF(A:A, D34)&gt;0, "공휴일", IF(COUNTIF(B:B, D34)&gt;0, "주말", "평일"))</f>
        <v>평일</v>
      </c>
      <c r="F34">
        <f>F35+1</f>
        <v>23</v>
      </c>
      <c r="G34">
        <f t="shared" si="1"/>
        <v>14</v>
      </c>
      <c r="H34">
        <f t="shared" si="2"/>
        <v>20</v>
      </c>
      <c r="I34">
        <f t="shared" si="3"/>
        <v>17</v>
      </c>
    </row>
    <row r="35" spans="4:9" x14ac:dyDescent="0.3">
      <c r="D35" s="1">
        <v>46059</v>
      </c>
      <c r="E35" t="str">
        <f>IF(COUNTIF(A:A, D35)&gt;0, "공휴일", IF(COUNTIF(B:B, D35)&gt;0, "주말", "평일"))</f>
        <v>평일</v>
      </c>
      <c r="F35">
        <f>F36+1</f>
        <v>22</v>
      </c>
      <c r="G35">
        <f t="shared" si="1"/>
        <v>13</v>
      </c>
      <c r="H35">
        <f t="shared" si="2"/>
        <v>19</v>
      </c>
      <c r="I35">
        <f t="shared" si="3"/>
        <v>16</v>
      </c>
    </row>
    <row r="36" spans="4:9" x14ac:dyDescent="0.3">
      <c r="D36" s="1">
        <v>46060</v>
      </c>
      <c r="E36" t="str">
        <f>IF(COUNTIF(A:A, D36)&gt;0, "공휴일", IF(COUNTIF(B:B, D36)&gt;0, "주말", "평일"))</f>
        <v>주말</v>
      </c>
      <c r="F36">
        <f>F37+1</f>
        <v>21</v>
      </c>
      <c r="G36">
        <f t="shared" si="1"/>
        <v>12</v>
      </c>
      <c r="H36">
        <f t="shared" si="2"/>
        <v>18</v>
      </c>
      <c r="I36">
        <f t="shared" si="3"/>
        <v>15</v>
      </c>
    </row>
    <row r="37" spans="4:9" x14ac:dyDescent="0.3">
      <c r="D37" s="1">
        <v>46061</v>
      </c>
      <c r="E37" t="str">
        <f>IF(COUNTIF(A:A, D37)&gt;0, "공휴일", IF(COUNTIF(B:B, D37)&gt;0, "주말", "평일"))</f>
        <v>주말</v>
      </c>
      <c r="F37">
        <f>F38+1</f>
        <v>20</v>
      </c>
      <c r="G37">
        <f t="shared" si="1"/>
        <v>12</v>
      </c>
      <c r="H37">
        <f t="shared" si="2"/>
        <v>17</v>
      </c>
      <c r="I37">
        <f t="shared" si="3"/>
        <v>15</v>
      </c>
    </row>
    <row r="38" spans="4:9" x14ac:dyDescent="0.3">
      <c r="D38" s="1">
        <v>46062</v>
      </c>
      <c r="E38" t="str">
        <f>IF(COUNTIF(A:A, D38)&gt;0, "공휴일", IF(COUNTIF(B:B, D38)&gt;0, "주말", "평일"))</f>
        <v>평일</v>
      </c>
      <c r="F38">
        <f>F39+1</f>
        <v>19</v>
      </c>
      <c r="G38">
        <f t="shared" si="1"/>
        <v>12</v>
      </c>
      <c r="H38">
        <f t="shared" si="2"/>
        <v>16</v>
      </c>
      <c r="I38">
        <f t="shared" si="3"/>
        <v>15</v>
      </c>
    </row>
    <row r="39" spans="4:9" x14ac:dyDescent="0.3">
      <c r="D39" s="1">
        <v>46063</v>
      </c>
      <c r="E39" t="str">
        <f>IF(COUNTIF(A:A, D39)&gt;0, "공휴일", IF(COUNTIF(B:B, D39)&gt;0, "주말", "평일"))</f>
        <v>평일</v>
      </c>
      <c r="F39">
        <f>F40+1</f>
        <v>18</v>
      </c>
      <c r="G39">
        <f t="shared" si="1"/>
        <v>11</v>
      </c>
      <c r="H39">
        <f t="shared" si="2"/>
        <v>15</v>
      </c>
      <c r="I39">
        <f t="shared" si="3"/>
        <v>14</v>
      </c>
    </row>
    <row r="40" spans="4:9" x14ac:dyDescent="0.3">
      <c r="D40" s="1">
        <v>46064</v>
      </c>
      <c r="E40" t="str">
        <f>IF(COUNTIF(A:A, D40)&gt;0, "공휴일", IF(COUNTIF(B:B, D40)&gt;0, "주말", "평일"))</f>
        <v>평일</v>
      </c>
      <c r="F40">
        <f>F41+1</f>
        <v>17</v>
      </c>
      <c r="G40">
        <f t="shared" si="1"/>
        <v>10</v>
      </c>
      <c r="H40">
        <f t="shared" si="2"/>
        <v>14</v>
      </c>
      <c r="I40">
        <f t="shared" si="3"/>
        <v>13</v>
      </c>
    </row>
    <row r="41" spans="4:9" x14ac:dyDescent="0.3">
      <c r="D41" s="1">
        <v>46065</v>
      </c>
      <c r="E41" t="str">
        <f>IF(COUNTIF(A:A, D41)&gt;0, "공휴일", IF(COUNTIF(B:B, D41)&gt;0, "주말", "평일"))</f>
        <v>평일</v>
      </c>
      <c r="F41">
        <f>F42+1</f>
        <v>16</v>
      </c>
      <c r="G41">
        <f t="shared" si="1"/>
        <v>9</v>
      </c>
      <c r="H41">
        <f t="shared" si="2"/>
        <v>13</v>
      </c>
      <c r="I41">
        <f t="shared" si="3"/>
        <v>12</v>
      </c>
    </row>
    <row r="42" spans="4:9" x14ac:dyDescent="0.3">
      <c r="D42" s="1">
        <v>46066</v>
      </c>
      <c r="E42" t="str">
        <f>IF(COUNTIF(A:A, D42)&gt;0, "공휴일", IF(COUNTIF(B:B, D42)&gt;0, "주말", "평일"))</f>
        <v>평일</v>
      </c>
      <c r="F42">
        <f>F43+1</f>
        <v>15</v>
      </c>
      <c r="G42">
        <f t="shared" si="1"/>
        <v>8</v>
      </c>
      <c r="H42">
        <f t="shared" si="2"/>
        <v>12</v>
      </c>
      <c r="I42">
        <f t="shared" si="3"/>
        <v>11</v>
      </c>
    </row>
    <row r="43" spans="4:9" x14ac:dyDescent="0.3">
      <c r="D43" s="1">
        <v>46067</v>
      </c>
      <c r="E43" t="str">
        <f>IF(COUNTIF(A:A, D43)&gt;0, "공휴일", IF(COUNTIF(B:B, D43)&gt;0, "주말", "평일"))</f>
        <v>주말</v>
      </c>
      <c r="F43">
        <f>F44+1</f>
        <v>14</v>
      </c>
      <c r="G43">
        <f t="shared" si="1"/>
        <v>7</v>
      </c>
      <c r="H43">
        <f t="shared" si="2"/>
        <v>11</v>
      </c>
      <c r="I43">
        <f t="shared" si="3"/>
        <v>10</v>
      </c>
    </row>
    <row r="44" spans="4:9" x14ac:dyDescent="0.3">
      <c r="D44" s="1">
        <v>46068</v>
      </c>
      <c r="E44" t="str">
        <f>IF(COUNTIF(A:A, D44)&gt;0, "공휴일", IF(COUNTIF(B:B, D44)&gt;0, "주말", "평일"))</f>
        <v>주말</v>
      </c>
      <c r="F44">
        <f>F45+1</f>
        <v>13</v>
      </c>
      <c r="G44">
        <f t="shared" si="1"/>
        <v>7</v>
      </c>
      <c r="H44">
        <f t="shared" si="2"/>
        <v>10</v>
      </c>
      <c r="I44">
        <f t="shared" si="3"/>
        <v>10</v>
      </c>
    </row>
    <row r="45" spans="4:9" x14ac:dyDescent="0.3">
      <c r="D45" s="1">
        <v>46069</v>
      </c>
      <c r="E45" t="str">
        <f>IF(COUNTIF(A:A, D45)&gt;0, "공휴일", IF(COUNTIF(B:B, D45)&gt;0, "주말", "평일"))</f>
        <v>평일</v>
      </c>
      <c r="F45">
        <f>F46+1</f>
        <v>12</v>
      </c>
      <c r="G45">
        <f t="shared" si="1"/>
        <v>7</v>
      </c>
      <c r="H45">
        <f t="shared" si="2"/>
        <v>9</v>
      </c>
      <c r="I45">
        <f t="shared" si="3"/>
        <v>10</v>
      </c>
    </row>
    <row r="46" spans="4:9" x14ac:dyDescent="0.3">
      <c r="D46" s="1">
        <v>46070</v>
      </c>
      <c r="E46" t="str">
        <f>IF(COUNTIF(A:A, D46)&gt;0, "공휴일", IF(COUNTIF(B:B, D46)&gt;0, "주말", "평일"))</f>
        <v>공휴일</v>
      </c>
      <c r="F46">
        <f>F47+1</f>
        <v>11</v>
      </c>
      <c r="G46">
        <f t="shared" si="1"/>
        <v>6</v>
      </c>
      <c r="H46">
        <f t="shared" si="2"/>
        <v>8</v>
      </c>
      <c r="I46">
        <f t="shared" si="3"/>
        <v>9</v>
      </c>
    </row>
    <row r="47" spans="4:9" x14ac:dyDescent="0.3">
      <c r="D47" s="1">
        <v>46071</v>
      </c>
      <c r="E47" t="str">
        <f>IF(COUNTIF(A:A, D47)&gt;0, "공휴일", IF(COUNTIF(B:B, D47)&gt;0, "주말", "평일"))</f>
        <v>공휴일</v>
      </c>
      <c r="F47">
        <f>F48+1</f>
        <v>10</v>
      </c>
      <c r="G47">
        <f t="shared" si="1"/>
        <v>6</v>
      </c>
      <c r="H47">
        <f t="shared" si="2"/>
        <v>8</v>
      </c>
      <c r="I47">
        <f t="shared" si="3"/>
        <v>8</v>
      </c>
    </row>
    <row r="48" spans="4:9" x14ac:dyDescent="0.3">
      <c r="D48" s="1">
        <v>46072</v>
      </c>
      <c r="E48" t="str">
        <f>IF(COUNTIF(A:A, D48)&gt;0, "공휴일", IF(COUNTIF(B:B, D48)&gt;0, "주말", "평일"))</f>
        <v>공휴일</v>
      </c>
      <c r="F48">
        <f>F49+1</f>
        <v>9</v>
      </c>
      <c r="G48">
        <f t="shared" si="1"/>
        <v>6</v>
      </c>
      <c r="H48">
        <f t="shared" si="2"/>
        <v>8</v>
      </c>
      <c r="I48">
        <f t="shared" si="3"/>
        <v>7</v>
      </c>
    </row>
    <row r="49" spans="4:9" x14ac:dyDescent="0.3">
      <c r="D49" s="1">
        <v>46073</v>
      </c>
      <c r="E49" t="str">
        <f>IF(COUNTIF(A:A, D49)&gt;0, "공휴일", IF(COUNTIF(B:B, D49)&gt;0, "주말", "평일"))</f>
        <v>평일</v>
      </c>
      <c r="F49">
        <f>F50+1</f>
        <v>8</v>
      </c>
      <c r="G49">
        <f t="shared" si="1"/>
        <v>6</v>
      </c>
      <c r="H49">
        <f t="shared" si="2"/>
        <v>8</v>
      </c>
      <c r="I49">
        <f t="shared" si="3"/>
        <v>6</v>
      </c>
    </row>
    <row r="50" spans="4:9" x14ac:dyDescent="0.3">
      <c r="D50" s="1">
        <v>46074</v>
      </c>
      <c r="E50" t="str">
        <f>IF(COUNTIF(A:A, D50)&gt;0, "공휴일", IF(COUNTIF(B:B, D50)&gt;0, "주말", "평일"))</f>
        <v>주말</v>
      </c>
      <c r="F50">
        <f>F51+1</f>
        <v>7</v>
      </c>
      <c r="G50">
        <f t="shared" si="1"/>
        <v>5</v>
      </c>
      <c r="H50">
        <f t="shared" si="2"/>
        <v>7</v>
      </c>
      <c r="I50">
        <f t="shared" si="3"/>
        <v>5</v>
      </c>
    </row>
    <row r="51" spans="4:9" x14ac:dyDescent="0.3">
      <c r="D51" s="1">
        <v>46075</v>
      </c>
      <c r="E51" t="str">
        <f>IF(COUNTIF(A:A, D51)&gt;0, "공휴일", IF(COUNTIF(B:B, D51)&gt;0, "주말", "평일"))</f>
        <v>주말</v>
      </c>
      <c r="F51">
        <f>F52+1</f>
        <v>6</v>
      </c>
      <c r="G51">
        <f t="shared" si="1"/>
        <v>5</v>
      </c>
      <c r="H51">
        <f t="shared" si="2"/>
        <v>6</v>
      </c>
      <c r="I51">
        <f t="shared" si="3"/>
        <v>5</v>
      </c>
    </row>
    <row r="52" spans="4:9" x14ac:dyDescent="0.3">
      <c r="D52" s="1">
        <v>46076</v>
      </c>
      <c r="E52" t="str">
        <f>IF(COUNTIF(A:A, D52)&gt;0, "공휴일", IF(COUNTIF(B:B, D52)&gt;0, "주말", "평일"))</f>
        <v>평일</v>
      </c>
      <c r="F52">
        <f>F53+1</f>
        <v>5</v>
      </c>
      <c r="G52">
        <f t="shared" si="1"/>
        <v>5</v>
      </c>
      <c r="H52">
        <f t="shared" si="2"/>
        <v>5</v>
      </c>
      <c r="I52">
        <f t="shared" si="3"/>
        <v>5</v>
      </c>
    </row>
    <row r="53" spans="4:9" x14ac:dyDescent="0.3">
      <c r="D53" s="1">
        <v>46077</v>
      </c>
      <c r="E53" t="str">
        <f>IF(COUNTIF(A:A, D53)&gt;0, "공휴일", IF(COUNTIF(B:B, D53)&gt;0, "주말", "평일"))</f>
        <v>평일</v>
      </c>
      <c r="F53">
        <f>F54+1</f>
        <v>4</v>
      </c>
      <c r="G53">
        <f t="shared" si="1"/>
        <v>4</v>
      </c>
      <c r="H53">
        <f t="shared" si="2"/>
        <v>4</v>
      </c>
      <c r="I53">
        <f t="shared" si="3"/>
        <v>4</v>
      </c>
    </row>
    <row r="54" spans="4:9" x14ac:dyDescent="0.3">
      <c r="D54" s="1">
        <v>46078</v>
      </c>
      <c r="E54" t="str">
        <f>IF(COUNTIF(A:A, D54)&gt;0, "공휴일", IF(COUNTIF(B:B, D54)&gt;0, "주말", "평일"))</f>
        <v>평일</v>
      </c>
      <c r="F54">
        <f>F55+1</f>
        <v>3</v>
      </c>
      <c r="G54">
        <f t="shared" si="1"/>
        <v>3</v>
      </c>
      <c r="H54">
        <f t="shared" si="2"/>
        <v>3</v>
      </c>
      <c r="I54">
        <f t="shared" si="3"/>
        <v>3</v>
      </c>
    </row>
    <row r="55" spans="4:9" x14ac:dyDescent="0.3">
      <c r="D55" s="1">
        <v>46079</v>
      </c>
      <c r="E55" t="str">
        <f>IF(COUNTIF(A:A, D55)&gt;0, "공휴일", IF(COUNTIF(B:B, D55)&gt;0, "주말", "평일"))</f>
        <v>평일</v>
      </c>
      <c r="F55">
        <f>F56+1</f>
        <v>2</v>
      </c>
      <c r="G55">
        <f t="shared" si="1"/>
        <v>2</v>
      </c>
      <c r="H55">
        <f t="shared" si="2"/>
        <v>2</v>
      </c>
      <c r="I55">
        <f t="shared" si="3"/>
        <v>2</v>
      </c>
    </row>
    <row r="56" spans="4:9" x14ac:dyDescent="0.3">
      <c r="D56" s="1">
        <v>46080</v>
      </c>
      <c r="E56" t="str">
        <f>IF(COUNTIF(A:A, D56)&gt;0, "공휴일", IF(COUNTIF(B:B, D56)&gt;0, "주말", "평일"))</f>
        <v>평일</v>
      </c>
      <c r="F56">
        <f>F57+1</f>
        <v>1</v>
      </c>
      <c r="G56">
        <f>IF(E56="주말",G57+0,IF(E56="공휴일",G57+0, G57+1))</f>
        <v>1</v>
      </c>
      <c r="H56">
        <f t="shared" si="2"/>
        <v>1</v>
      </c>
      <c r="I56">
        <f t="shared" si="3"/>
        <v>1</v>
      </c>
    </row>
    <row r="57" spans="4:9" x14ac:dyDescent="0.3">
      <c r="D57" s="1">
        <v>46081</v>
      </c>
      <c r="E57" t="str">
        <f>IF(COUNTIF(A:A, D57)&gt;0, "공휴일", IF(COUNTIF(B:B, D57)&gt;0, "주말", "평일"))</f>
        <v>주말</v>
      </c>
      <c r="F57">
        <v>0</v>
      </c>
      <c r="G57">
        <v>0</v>
      </c>
      <c r="H57">
        <v>0</v>
      </c>
      <c r="I57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C53DF-165D-438D-AAE8-9A9D75FD71F1}">
  <dimension ref="A1:E17"/>
  <sheetViews>
    <sheetView tabSelected="1" workbookViewId="0">
      <selection activeCell="E18" sqref="E18"/>
    </sheetView>
  </sheetViews>
  <sheetFormatPr defaultRowHeight="16.5" x14ac:dyDescent="0.3"/>
  <cols>
    <col min="1" max="1" width="22.125" customWidth="1"/>
    <col min="2" max="2" width="23.5" customWidth="1"/>
    <col min="4" max="4" width="22.75" customWidth="1"/>
    <col min="5" max="5" width="22.875" customWidth="1"/>
  </cols>
  <sheetData>
    <row r="1" spans="1:5" x14ac:dyDescent="0.3">
      <c r="A1" t="s">
        <v>4</v>
      </c>
      <c r="B1" s="1">
        <v>46026</v>
      </c>
      <c r="D1" t="s">
        <v>4</v>
      </c>
      <c r="E1" s="1">
        <v>46027</v>
      </c>
    </row>
    <row r="2" spans="1:5" x14ac:dyDescent="0.3">
      <c r="A2" t="s">
        <v>0</v>
      </c>
      <c r="B2" s="1">
        <v>46081</v>
      </c>
      <c r="D2" t="s">
        <v>0</v>
      </c>
      <c r="E2" s="1">
        <v>46081</v>
      </c>
    </row>
    <row r="4" spans="1:5" x14ac:dyDescent="0.3">
      <c r="A4" t="s">
        <v>5</v>
      </c>
      <c r="B4">
        <f>NETWORKDAYS.INTL(B1,B2, "0000000")</f>
        <v>56</v>
      </c>
      <c r="D4" t="s">
        <v>5</v>
      </c>
      <c r="E4">
        <f>NETWORKDAYS.INTL(E1,E2, "0000000")</f>
        <v>55</v>
      </c>
    </row>
    <row r="5" spans="1:5" x14ac:dyDescent="0.3">
      <c r="A5" t="s">
        <v>3</v>
      </c>
      <c r="B5">
        <f>NETWORKDAYS(B1,B2, Sheet1!A:A)</f>
        <v>37</v>
      </c>
      <c r="D5" t="s">
        <v>3</v>
      </c>
      <c r="E5">
        <f>NETWORKDAYS(E1,E2, Sheet1!A:A)</f>
        <v>37</v>
      </c>
    </row>
    <row r="6" spans="1:5" x14ac:dyDescent="0.3">
      <c r="A6" t="s">
        <v>1</v>
      </c>
      <c r="B6">
        <f>NETWORKDAYS.INTL(B1,B2, "0000000", Sheet1!A:A)</f>
        <v>53</v>
      </c>
      <c r="D6" t="s">
        <v>1</v>
      </c>
      <c r="E6">
        <f>NETWORKDAYS.INTL(E1,E2, "0000000", Sheet1!A:A)</f>
        <v>52</v>
      </c>
    </row>
    <row r="7" spans="1:5" x14ac:dyDescent="0.3">
      <c r="A7" t="s">
        <v>2</v>
      </c>
      <c r="B7">
        <f>NETWORKDAYS.INTL(B1,B2,1)</f>
        <v>40</v>
      </c>
      <c r="D7" t="s">
        <v>2</v>
      </c>
      <c r="E7">
        <f>NETWORKDAYS.INTL(E1,E2,1)</f>
        <v>40</v>
      </c>
    </row>
    <row r="9" spans="1:5" x14ac:dyDescent="0.3">
      <c r="A9" t="s">
        <v>6</v>
      </c>
      <c r="B9">
        <f>NETWORKDAYS.INTL(B1+1,B2, "0000000")</f>
        <v>55</v>
      </c>
      <c r="D9" t="s">
        <v>6</v>
      </c>
      <c r="E9">
        <f>NETWORKDAYS.INTL(E1+1,E2, "0000000")</f>
        <v>54</v>
      </c>
    </row>
    <row r="10" spans="1:5" x14ac:dyDescent="0.3">
      <c r="A10" t="s">
        <v>3</v>
      </c>
      <c r="B10">
        <f>NETWORKDAYS(B1+1,B2, Sheet1!A:A)</f>
        <v>37</v>
      </c>
      <c r="D10" t="s">
        <v>3</v>
      </c>
      <c r="E10">
        <f>NETWORKDAYS(E1+1,E2, Sheet1!A:A)</f>
        <v>36</v>
      </c>
    </row>
    <row r="11" spans="1:5" x14ac:dyDescent="0.3">
      <c r="A11" t="s">
        <v>1</v>
      </c>
      <c r="B11">
        <f>NETWORKDAYS.INTL(B1+1,B2, "0000000", Sheet1!A:A)</f>
        <v>52</v>
      </c>
      <c r="D11" t="s">
        <v>1</v>
      </c>
      <c r="E11">
        <f>NETWORKDAYS.INTL(E1+1,E2, "0000000", Sheet1!A:A)</f>
        <v>51</v>
      </c>
    </row>
    <row r="12" spans="1:5" x14ac:dyDescent="0.3">
      <c r="A12" t="s">
        <v>2</v>
      </c>
      <c r="B12">
        <f>NETWORKDAYS.INTL(B1+1,B2,1)</f>
        <v>40</v>
      </c>
      <c r="D12" t="s">
        <v>2</v>
      </c>
      <c r="E12">
        <f>NETWORKDAYS.INTL(E1+1,E2,1)</f>
        <v>39</v>
      </c>
    </row>
    <row r="14" spans="1:5" x14ac:dyDescent="0.3">
      <c r="D14" t="s">
        <v>9</v>
      </c>
      <c r="E14">
        <v>54</v>
      </c>
    </row>
    <row r="15" spans="1:5" x14ac:dyDescent="0.3">
      <c r="B15" s="1"/>
      <c r="D15" t="s">
        <v>11</v>
      </c>
      <c r="E15">
        <v>37</v>
      </c>
    </row>
    <row r="16" spans="1:5" x14ac:dyDescent="0.3">
      <c r="D16" t="s">
        <v>12</v>
      </c>
      <c r="E16">
        <v>51</v>
      </c>
    </row>
    <row r="17" spans="4:5" x14ac:dyDescent="0.3">
      <c r="D17" t="s">
        <v>13</v>
      </c>
      <c r="E17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선우 조</dc:creator>
  <cp:lastModifiedBy>선우 조</cp:lastModifiedBy>
  <dcterms:created xsi:type="dcterms:W3CDTF">2026-01-03T23:01:54Z</dcterms:created>
  <dcterms:modified xsi:type="dcterms:W3CDTF">2026-01-05T11:55:07Z</dcterms:modified>
</cp:coreProperties>
</file>